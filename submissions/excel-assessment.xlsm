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DCE761F-6232-4F8A-ACB1-C2357BF8940D}" xr6:coauthVersionLast="47" xr6:coauthVersionMax="47" xr10:uidLastSave="{00000000-0000-0000-0000-000000000000}"/>
  <bookViews>
    <workbookView xWindow="-120" yWindow="-120" windowWidth="20730" windowHeight="1116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2" i="19"/>
  <c r="B16" i="16" a="1"/>
  <c r="B16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6" i="18" a="1"/>
  <c r="B6" i="18" s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" i="1"/>
  <c r="Y2" i="1"/>
  <c r="Y3" i="1"/>
  <c r="H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<sst xmlns="http://schemas.openxmlformats.org/spreadsheetml/2006/main" count="333" uniqueCount="188">
  <si>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</si>
  <si>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</si>
  <si>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</si>
  <si>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</si>
  <si>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</si>
  <si>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</si>
  <si>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</si>
  <si>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</si>
  <si>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</si>
  <si>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</si>
  <si>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</si>
  <si>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</si>
  <si>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</si>
  <si>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</si>
  <si>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</si>
  <si>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</si>
  <si>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</si>
  <si>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</si>
  <si>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</si>
  <si>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</si>
  <si>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</si>
  <si>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</si>
  <si>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</si>
  <si>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</si>
  <si>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</si>
  <si>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</si>
  <si>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</si>
  <si>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</si>
  <si>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</si>
  <si>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</si>
  <si>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</si>
  <si>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</si>
  <si>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</si>
  <si>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</si>
  <si>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</si>
  <si>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</si>
  <si>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</si>
  <si>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</si>
  <si>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</si>
  <si>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</si>
  <si>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</si>
  <si>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</si>
  <si>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</si>
  <si>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</si>
  <si>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</si>
  <si>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</si>
  <si>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</si>
  <si>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</si>
  <si>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</si>
  <si>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</si>
  <si>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</si>
  <si>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</si>
  <si>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</si>
  <si>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</si>
  <si>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</si>
  <si>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</si>
  <si>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</si>
  <si>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</si>
  <si>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</si>
  <si>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</si>
  <si>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</si>
  <si>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</si>
  <si>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</si>
  <si>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</si>
  <si>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</si>
  <si>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</si>
  <si>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</si>
  <si>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</si>
  <si>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</si>
  <si>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</si>
  <si>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</si>
  <si>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</si>
  <si>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</si>
  <si>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</si>
  <si>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</si>
  <si>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</si>
  <si>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</si>
  <si>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</si>
  <si>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</si>
  <si>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</si>
  <si>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</si>
  <si>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</si>
  <si>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</si>
  <si>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</si>
  <si>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</si>
  <si>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</si>
  <si>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</si>
  <si>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</si>
  <si>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</si>
  <si>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</si>
  <si>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</si>
  <si>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</si>
  <si>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</si>
  <si>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</si>
  <si>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</si>
  <si>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</si>
  <si>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</si>
  <si>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</si>
  <si>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</si>
  <si>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</si>
  <si>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</si>
  <si>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</si>
  <si>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</si>
  <si>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</si>
  <si>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</si>
  <si>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</si>
  <si>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</si>
  <si>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</si>
  <si>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</si>
  <si>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</si>
  <si>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</si>
  <si>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</si>
  <si>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</si>
  <si>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</si>
  <si>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</si>
  <si>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</si>
  <si>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</si>
  <si>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</si>
  <si>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</si>
  <si>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</si>
  <si>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</si>
  <si>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</si>
  <si>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</si>
  <si>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</si>
  <si>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</si>
  <si>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</si>
  <si>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</si>
  <si>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</si>
  <si>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</si>
  <si>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</si>
  <si>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</si>
  <si>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</si>
  <si>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</si>
  <si>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</si>
  <si>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</si>
  <si>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</si>
  <si>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</si>
  <si>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</si>
  <si>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</si>
  <si>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</si>
  <si>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</si>
  <si>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</si>
  <si>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</si>
  <si>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</si>
  <si>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</si>
  <si>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</si>
  <si>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</si>
  <si>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</si>
  <si>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</si>
  <si>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</si>
  <si>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</si>
  <si>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</si>
  <si>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</si>
  <si>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</si>
  <si>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</si>
  <si>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</si>
  <si>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</si>
  <si>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</si>
  <si>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</si>
  <si>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</si>
  <si>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</si>
  <si>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</si>
  <si>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</si>
  <si>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</si>
  <si>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</si>
  <si>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</si>
  <si>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</si>
  <si>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</si>
  <si>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</si>
  <si>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</si>
  <si>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</si>
  <si>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</si>
  <si>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</si>
  <si>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</si>
  <si>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</si>
  <si>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</si>
  <si>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SUMIF($H$2:$H$40,"&gt;20",$H$2:$H$40)</t>
  </si>
  <si>
    <t>New Date</t>
  </si>
  <si>
    <t>Used Conditional Formatting</t>
  </si>
  <si>
    <t>In View Tab we get option to freeze row</t>
  </si>
  <si>
    <t>TEXT($X4,"YYYY-MM-DD") then dtype changed to date</t>
  </si>
  <si>
    <t>Vlookup can also serve the purpose</t>
  </si>
  <si>
    <t>TEXTSPLIT($A16,"-",,,0)</t>
  </si>
  <si>
    <t>TEXTSPLIT function splits text with respect to provided delimiter in this question which is '-'</t>
  </si>
  <si>
    <t>SUMIF($C$12:$C$21,"&lt;&gt;#N/A",$C$12:$C$21) + 20*COUNTIF($C$12:$C$21,"=#N/A")</t>
  </si>
  <si>
    <t>Calculated sum of all non #N/A values and then added it with count of all #N/A values multiplied by 20</t>
  </si>
  <si>
    <t>INDEX($A$9:$J$18,MATCH(INDEX($M$10:$N$18,MATCH($A$23:$A$35,$M$10:$M$18,0),2),$A$9:$A$18,0),MATCH(INDEX($M$10:$N$18,MATCH($B$23:$B$35,$M$10:$M$18,0),2),$A$9:$J$9,0))</t>
  </si>
  <si>
    <r>
      <t>Used Index and macth function to get alphabets from table b for name_1 [</t>
    </r>
    <r>
      <rPr>
        <b/>
        <sz val="11"/>
        <color rgb="FF000000"/>
        <rFont val="Calibri"/>
        <family val="2"/>
        <scheme val="minor"/>
      </rPr>
      <t>INDEX($M$10:$N$18,MATCH($A$23:$A$35,$M$10:$M$18,0),2)</t>
    </r>
    <r>
      <rPr>
        <sz val="11"/>
        <color rgb="FF000000"/>
        <rFont val="Calibri"/>
        <family val="2"/>
        <scheme val="minor"/>
      </rPr>
      <t>] and name_2 [</t>
    </r>
    <r>
      <rPr>
        <b/>
        <sz val="11"/>
        <color rgb="FF000000"/>
        <rFont val="Calibri"/>
        <family val="2"/>
        <scheme val="minor"/>
      </rPr>
      <t>(INDEX($M$10:$N$18,MATCH($B$23:$B$35,$M$10:$M$18,0),2)</t>
    </r>
    <r>
      <rPr>
        <sz val="11"/>
        <color rgb="FF000000"/>
        <rFont val="Calibri"/>
        <family val="2"/>
        <scheme val="minor"/>
      </rPr>
      <t>]and used  match once again to get row num [</t>
    </r>
    <r>
      <rPr>
        <b/>
        <sz val="11"/>
        <color rgb="FF000000"/>
        <rFont val="Calibri"/>
        <family val="2"/>
        <scheme val="minor"/>
      </rPr>
      <t>MATCH(name_1,$A$9:$A$18,0)</t>
    </r>
    <r>
      <rPr>
        <sz val="11"/>
        <color rgb="FF000000"/>
        <rFont val="Calibri"/>
        <family val="2"/>
        <scheme val="minor"/>
      </rPr>
      <t>]and column num [</t>
    </r>
    <r>
      <rPr>
        <b/>
        <sz val="11"/>
        <color rgb="FF000000"/>
        <rFont val="Calibri"/>
        <family val="2"/>
        <scheme val="minor"/>
      </rPr>
      <t>MATCH(name_2,$A$9:$J$9,0)</t>
    </r>
    <r>
      <rPr>
        <sz val="11"/>
        <color rgb="FF000000"/>
        <rFont val="Calibri"/>
        <family val="2"/>
        <scheme val="minor"/>
      </rPr>
      <t>] from table a and put that in index function to get corresponding value from table A [</t>
    </r>
    <r>
      <rPr>
        <b/>
        <sz val="11"/>
        <color rgb="FF000000"/>
        <rFont val="Calibri"/>
        <family val="2"/>
        <scheme val="minor"/>
      </rPr>
      <t>INDEX($A$9:$J$18,row_num,col_num)</t>
    </r>
    <r>
      <rPr>
        <sz val="11"/>
        <color rgb="FF000000"/>
        <rFont val="Calibri"/>
        <family val="2"/>
        <scheme val="minor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</si>
</sst>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9" fillId="0" borderId="0" xfId="0" applyFont="1"/>
    <xf numFmtId="0" fontId="1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54</v>
      </c>
      <c r="B11" s="37">
        <v>30</v>
      </c>
    </row>
    <row r="12" spans="1:3" x14ac:dyDescent="0.2">
      <c r="A12" s="35" t="s">
        <v>55</v>
      </c>
      <c r="B12" s="37">
        <v>10</v>
      </c>
    </row>
    <row r="13" spans="1:3" x14ac:dyDescent="0.2">
      <c r="A13" s="35" t="s">
        <v>84</v>
      </c>
      <c r="B13" s="37">
        <v>20</v>
      </c>
    </row>
    <row r="14" spans="1:3" x14ac:dyDescent="0.2">
      <c r="A14" s="35" t="s">
        <v>97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4"/>
  <sheetViews>
    <sheetView topLeftCell="K1" zoomScale="62" zoomScaleNormal="62" workbookViewId="0">
      <pane ySplit="1" topLeftCell="A2" activePane="bottomLeft" state="frozen"/>
      <selection pane="bottomLeft" activeCell="A2" sqref="A2:A40"/>
    </sheetView>
  </sheetViews>
  <sheetFormatPr defaultColWidth="9" defaultRowHeight="15" x14ac:dyDescent="0.25"/>
  <cols>
    <col min="1" max="1" width="25.33203125" style="1" bestFit="1" customWidth="1"/>
    <col min="2" max="2" width="8.5" style="1" bestFit="1" customWidth="1"/>
    <col min="3" max="3" width="15.1640625" style="1" bestFit="1" customWidth="1"/>
    <col min="4" max="4" width="11" style="24" customWidth="1"/>
    <col min="5" max="5" width="9.1640625" style="1" bestFit="1" customWidth="1"/>
    <col min="6" max="6" width="14.66406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5" width="14.1640625" style="1" bestFit="1" customWidth="1"/>
    <col min="26" max="16384" width="9" style="1"/>
  </cols>
  <sheetData>
    <row r="1" spans="1:25" s="3" customFormat="1" ht="14.85" customHeight="1" x14ac:dyDescent="0.25">
      <c r="A1" s="28" t="s">
        <v>63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78</v>
      </c>
      <c r="H1" s="30" t="s">
        <v>64</v>
      </c>
      <c r="I1" s="30" t="s">
        <v>65</v>
      </c>
      <c r="J1" s="31" t="s">
        <v>66</v>
      </c>
      <c r="K1" s="31" t="s">
        <v>67</v>
      </c>
      <c r="L1" s="31" t="s">
        <v>68</v>
      </c>
      <c r="M1" s="30" t="s">
        <v>69</v>
      </c>
      <c r="N1" s="30" t="s">
        <v>70</v>
      </c>
      <c r="O1" s="30" t="s">
        <v>71</v>
      </c>
      <c r="P1" s="31" t="s">
        <v>72</v>
      </c>
      <c r="Q1" s="31" t="s">
        <v>73</v>
      </c>
      <c r="R1" s="31" t="s">
        <v>74</v>
      </c>
      <c r="S1" s="30" t="s">
        <v>79</v>
      </c>
      <c r="T1" s="30" t="s">
        <v>75</v>
      </c>
      <c r="U1" s="31" t="s">
        <v>80</v>
      </c>
      <c r="V1" s="31" t="s">
        <v>76</v>
      </c>
      <c r="W1" s="31" t="s">
        <v>77</v>
      </c>
      <c r="X1" s="3" t="s">
        <v>104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27" t="str">
        <f>TEXT($X$2,"YYYY-MM-DD")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27" t="str">
        <f t="shared" ref="Y3:Y40" si="0">TEXT($X$2,"YYYY-MM-DD")</f>
        <v>2023-05-05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27" t="str">
        <f>TEXT($X4,"YYYY-MM-DD")</f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27" t="str">
        <f t="shared" ref="Y5:Y40" si="1">TEXT($X5,"YYYY-MM-DD")</f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27" t="str">
        <f t="shared" si="1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27" t="str">
        <f t="shared" si="1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27" t="str">
        <f t="shared" si="1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27" t="str">
        <f t="shared" si="1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27" t="str">
        <f t="shared" si="1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27" t="str">
        <f t="shared" si="1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27" t="str">
        <f t="shared" si="1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27" t="str">
        <f t="shared" si="1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27" t="str">
        <f t="shared" si="1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27" t="str">
        <f t="shared" si="1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27" t="str">
        <f t="shared" si="1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27" t="str">
        <f t="shared" si="1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27" t="str">
        <f t="shared" si="1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27" t="str">
        <f t="shared" si="1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27" t="str">
        <f t="shared" si="1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27" t="str">
        <f t="shared" si="1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27" t="str">
        <f t="shared" si="1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27" t="str">
        <f t="shared" si="1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27" t="str">
        <f t="shared" si="1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27" t="str">
        <f t="shared" si="1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27" t="str">
        <f t="shared" si="1"/>
        <v>2023-08-04</v>
      </c>
    </row>
    <row r="27" spans="1:25" x14ac:dyDescent="0.2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27" t="str">
        <f t="shared" si="1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27" t="str">
        <f t="shared" si="1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27" t="str">
        <f t="shared" si="1"/>
        <v>2023-08-15</v>
      </c>
    </row>
    <row r="30" spans="1:25" x14ac:dyDescent="0.2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27" t="str">
        <f t="shared" si="1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27" t="str">
        <f t="shared" si="1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27" t="str">
        <f t="shared" si="1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27" t="str">
        <f t="shared" si="1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27" t="str">
        <f t="shared" si="1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27" t="str">
        <f t="shared" si="1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27" t="str">
        <f t="shared" si="1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27" t="str">
        <f t="shared" si="1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27" t="str">
        <f t="shared" si="1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27" t="str">
        <f t="shared" si="1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27" t="str">
        <f t="shared" si="1"/>
        <v>2023-08-24</v>
      </c>
    </row>
    <row r="44" spans="1:25" x14ac:dyDescent="0.25">
      <c r="H44" s="1">
        <f>SUMIF($H$2:$H$40,"&gt;20",$H$2:$H$40)</f>
        <v>1473.0000000000002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20" sqref="C20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52.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106</v>
      </c>
      <c r="C3" s="2" t="s">
        <v>178</v>
      </c>
      <c r="E3" s="1">
        <v>5</v>
      </c>
    </row>
    <row r="4" spans="1:5" x14ac:dyDescent="0.25">
      <c r="A4" s="6">
        <v>2</v>
      </c>
      <c r="B4" s="2" t="s">
        <v>45</v>
      </c>
      <c r="C4" s="2" t="s">
        <v>179</v>
      </c>
      <c r="E4" s="1">
        <v>5</v>
      </c>
    </row>
    <row r="5" spans="1:5" x14ac:dyDescent="0.25">
      <c r="A5" s="6">
        <v>3</v>
      </c>
      <c r="B5" s="2" t="s">
        <v>103</v>
      </c>
      <c r="C5" s="46" t="s">
        <v>176</v>
      </c>
      <c r="E5" s="1">
        <v>10</v>
      </c>
    </row>
    <row r="6" spans="1:5" x14ac:dyDescent="0.25">
      <c r="A6" s="6">
        <v>4</v>
      </c>
      <c r="B6" s="2" t="s">
        <v>105</v>
      </c>
      <c r="C6" s="46" t="s">
        <v>180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zoomScaleNormal="100" workbookViewId="0">
      <selection activeCell="H5" sqref="H5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8" s="41" customFormat="1" ht="21" x14ac:dyDescent="0.35">
      <c r="A1" s="42" t="s">
        <v>54</v>
      </c>
      <c r="B1" s="41" t="s">
        <v>163</v>
      </c>
    </row>
    <row r="2" spans="1:8" s="41" customFormat="1" ht="21" x14ac:dyDescent="0.35">
      <c r="B2" s="41" t="s">
        <v>160</v>
      </c>
    </row>
    <row r="3" spans="1:8" ht="15" x14ac:dyDescent="0.25">
      <c r="A3" s="1"/>
      <c r="B3" s="1"/>
      <c r="C3" s="1"/>
      <c r="D3" s="1"/>
      <c r="E3" s="1"/>
      <c r="F3" s="1"/>
      <c r="G3" s="1"/>
    </row>
    <row r="4" spans="1:8" ht="23.25" x14ac:dyDescent="0.35">
      <c r="A4" s="18" t="s">
        <v>161</v>
      </c>
      <c r="B4" s="1"/>
      <c r="C4" s="1"/>
      <c r="D4" s="1"/>
      <c r="E4" s="1"/>
      <c r="F4" s="1"/>
      <c r="G4" s="1"/>
    </row>
    <row r="5" spans="1:8" ht="15" x14ac:dyDescent="0.25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  <c r="H5" s="2" t="s">
        <v>181</v>
      </c>
    </row>
    <row r="6" spans="1:8" ht="15" x14ac:dyDescent="0.25">
      <c r="A6" s="7" t="s">
        <v>40</v>
      </c>
      <c r="B6" s="12" cm="1">
        <f t="array" ref="B6:F27">INDEX(Dataset!$A$2:$Y$40,MATCH(Task_2!$A$6:$A$27,Dataset!$A$2:$A$40,0),MATCH($B$5:$F$5,Dataset!$A$1:$Y$1,0))</f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8" ht="15" x14ac:dyDescent="0.2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8" ht="15" x14ac:dyDescent="0.2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8" ht="15" x14ac:dyDescent="0.2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8" ht="15" x14ac:dyDescent="0.2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8" ht="15" x14ac:dyDescent="0.2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8" ht="15" x14ac:dyDescent="0.2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8" ht="15" x14ac:dyDescent="0.2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8" ht="15" x14ac:dyDescent="0.2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8" ht="15" x14ac:dyDescent="0.2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8" ht="15" x14ac:dyDescent="0.2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5" x14ac:dyDescent="0.2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5" x14ac:dyDescent="0.2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5" x14ac:dyDescent="0.2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56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5" x14ac:dyDescent="0.25">
      <c r="A22" s="7" t="s">
        <v>57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5" x14ac:dyDescent="0.2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5" x14ac:dyDescent="0.25">
      <c r="A28" s="19" t="s">
        <v>81</v>
      </c>
      <c r="B28" s="32">
        <f>MIN(B$6:B$27)</f>
        <v>-1</v>
      </c>
      <c r="C28" s="32">
        <f t="shared" ref="C28:F28" si="0">MIN(C$6:C$27)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5" x14ac:dyDescent="0.25">
      <c r="A29" s="19" t="s">
        <v>82</v>
      </c>
      <c r="B29" s="32">
        <f>MAX(B$6:B$27)</f>
        <v>51.8</v>
      </c>
      <c r="C29" s="32">
        <f t="shared" ref="C29:F29" si="1">MAX(C$6:C$27)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5" x14ac:dyDescent="0.25">
      <c r="A30" s="19" t="s">
        <v>83</v>
      </c>
      <c r="B30" s="32">
        <f>AVERAGE(B$6:B$27)</f>
        <v>20.827272727272728</v>
      </c>
      <c r="C30" s="32">
        <f t="shared" ref="C30:F30" si="2">AVERAGE(C$6:C$27)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55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52</v>
      </c>
      <c r="B5" s="40" t="s">
        <v>182</v>
      </c>
    </row>
    <row r="6" spans="1:10" ht="18.75" x14ac:dyDescent="0.3">
      <c r="A6" s="43" t="s">
        <v>152</v>
      </c>
      <c r="B6" s="40" t="s">
        <v>183</v>
      </c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4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25">
      <c r="A16" s="7" t="s">
        <v>120</v>
      </c>
      <c r="B16" s="12" t="str" cm="1">
        <f t="array" ref="B16:F16">_xlfn.TEXTSPLIT($A16,"-",,,0)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25">
      <c r="A17" s="7" t="s">
        <v>121</v>
      </c>
      <c r="B17" s="12" t="str" cm="1">
        <f t="array" ref="B17:F17">_xlfn.TEXTSPLIT($A17,"-",,,0)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25">
      <c r="A18" s="7" t="s">
        <v>122</v>
      </c>
      <c r="B18" s="12" t="str" cm="1">
        <f t="array" ref="B18:F18">_xlfn.TEXTSPLIT($A18,"-",,,0)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25">
      <c r="A19" s="7" t="s">
        <v>123</v>
      </c>
      <c r="B19" s="12" t="str" cm="1">
        <f t="array" ref="B19:F19">_xlfn.TEXTSPLIT($A19,"-",,,0)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25">
      <c r="A20" s="7" t="s">
        <v>124</v>
      </c>
      <c r="B20" s="12" t="str" cm="1">
        <f t="array" ref="B20:F20">_xlfn.TEXTSPLIT($A20,"-",,,0)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25">
      <c r="A21" s="7" t="s">
        <v>125</v>
      </c>
      <c r="B21" s="12" t="str" cm="1">
        <f t="array" ref="B21:F21">_xlfn.TEXTSPLIT($A21,"-",,,0)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25">
      <c r="A22" s="7" t="s">
        <v>126</v>
      </c>
      <c r="B22" s="12" t="str" cm="1">
        <f t="array" ref="B22:F22">_xlfn.TEXTSPLIT($A22,"-",,,0)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25">
      <c r="A23" s="7" t="s">
        <v>127</v>
      </c>
      <c r="B23" s="12" t="str" cm="1">
        <f t="array" ref="B23:F23">_xlfn.TEXTSPLIT($A23,"-",,,0)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25">
      <c r="A24" s="7" t="s">
        <v>128</v>
      </c>
      <c r="B24" s="12" t="str" cm="1">
        <f t="array" ref="B24:F24">_xlfn.TEXTSPLIT($A24,"-",,,0)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25">
      <c r="A25" s="7" t="s">
        <v>129</v>
      </c>
      <c r="B25" s="12" t="str" cm="1">
        <f t="array" ref="B25:F25">_xlfn.TEXTSPLIT($A25,"-",,,0)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25">
      <c r="A26" s="7" t="s">
        <v>130</v>
      </c>
      <c r="B26" s="12" t="str" cm="1">
        <f t="array" ref="B26:F26">_xlfn.TEXTSPLIT($A26,"-",,,0)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25">
      <c r="A27" s="7" t="s">
        <v>131</v>
      </c>
      <c r="B27" s="12" t="str" cm="1">
        <f t="array" ref="B27:F27">_xlfn.TEXTSPLIT($A27,"-",,,0)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25">
      <c r="A28" s="7" t="s">
        <v>132</v>
      </c>
      <c r="B28" s="12" t="str" cm="1">
        <f t="array" ref="B28:F28">_xlfn.TEXTSPLIT($A28,"-",,,0)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25">
      <c r="A29" s="7" t="s">
        <v>133</v>
      </c>
      <c r="B29" s="12" t="str" cm="1">
        <f t="array" ref="B29:F29">_xlfn.TEXTSPLIT($A29,"-",,,0)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25">
      <c r="A30" s="7" t="s">
        <v>134</v>
      </c>
      <c r="B30" s="12" t="str" cm="1">
        <f t="array" ref="B30:F30">_xlfn.TEXTSPLIT($A30,"-",,,0)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25">
      <c r="A31" s="7" t="s">
        <v>135</v>
      </c>
      <c r="B31" s="12" t="str" cm="1">
        <f t="array" ref="B31:F31">_xlfn.TEXTSPLIT($A31,"-",,,0)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25">
      <c r="A32" s="7" t="s">
        <v>136</v>
      </c>
      <c r="B32" s="12" t="str" cm="1">
        <f t="array" ref="B32:F32">_xlfn.TEXTSPLIT($A32,"-",,,0)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25">
      <c r="A33" s="7" t="s">
        <v>137</v>
      </c>
      <c r="B33" s="12" t="str" cm="1">
        <f t="array" ref="B33:F33">_xlfn.TEXTSPLIT($A33,"-",,,0)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25">
      <c r="A34" s="7" t="s">
        <v>138</v>
      </c>
      <c r="B34" s="12" t="str" cm="1">
        <f t="array" ref="B34:F34">_xlfn.TEXTSPLIT($A34,"-",,,0)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25">
      <c r="A35" s="7" t="s">
        <v>139</v>
      </c>
      <c r="B35" s="12" t="str" cm="1">
        <f t="array" ref="B35:F35">_xlfn.TEXTSPLIT($A35,"-",,,0)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25">
      <c r="A36" s="7" t="s">
        <v>140</v>
      </c>
      <c r="B36" s="12" t="str" cm="1">
        <f t="array" ref="B36:F36">_xlfn.TEXTSPLIT($A36,"-",,,0)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25">
      <c r="A37" s="7" t="s">
        <v>141</v>
      </c>
      <c r="B37" s="12" t="str" cm="1">
        <f t="array" ref="B37:F37">_xlfn.TEXTSPLIT($A37,"-",,,0)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25">
      <c r="A38" s="7" t="s">
        <v>142</v>
      </c>
      <c r="B38" s="12" t="str" cm="1">
        <f t="array" ref="B38:F38">_xlfn.TEXTSPLIT($A38,"-",,,0)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25">
      <c r="A39" s="7" t="s">
        <v>143</v>
      </c>
      <c r="B39" s="12" t="str" cm="1">
        <f t="array" ref="B39:F39">_xlfn.TEXTSPLIT($A39,"-",,,0)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25">
      <c r="A40" s="7" t="s">
        <v>144</v>
      </c>
      <c r="B40" s="12" t="str" cm="1">
        <f t="array" ref="B40:F40">_xlfn.TEXTSPLIT($A40,"-",,,0)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25">
      <c r="A41" s="7" t="s">
        <v>145</v>
      </c>
      <c r="B41" s="12" t="str" cm="1">
        <f t="array" ref="B41:F41">_xlfn.TEXTSPLIT($A41,"-",,,0)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25">
      <c r="A42" s="7" t="s">
        <v>146</v>
      </c>
      <c r="B42" s="12" t="str" cm="1">
        <f t="array" ref="B42:F42">_xlfn.TEXTSPLIT($A42,"-",,,0)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25">
      <c r="A43" s="7" t="s">
        <v>147</v>
      </c>
      <c r="B43" s="12" t="str" cm="1">
        <f t="array" ref="B43:F43">_xlfn.TEXTSPLIT($A43,"-",,,0)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25">
      <c r="A44" s="7" t="s">
        <v>148</v>
      </c>
      <c r="B44" s="12" t="str" cm="1">
        <f t="array" ref="B44:F44">_xlfn.TEXTSPLIT($A44,"-",,,0)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25">
      <c r="A45" s="7" t="s">
        <v>149</v>
      </c>
      <c r="B45" s="12" t="str" cm="1">
        <f t="array" ref="B45:F45">_xlfn.TEXTSPLIT($A45,"-",,,0)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25">
      <c r="A46" s="7" t="s">
        <v>111</v>
      </c>
      <c r="B46" s="12" t="str" cm="1">
        <f t="array" ref="B46:F46">_xlfn.TEXTSPLIT($A46,"-",,,0)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25">
      <c r="A47" s="7" t="s">
        <v>112</v>
      </c>
      <c r="B47" s="12" t="str" cm="1">
        <f t="array" ref="B47:F47">_xlfn.TEXTSPLIT($A47,"-",,,0)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25">
      <c r="A48" s="7" t="s">
        <v>113</v>
      </c>
      <c r="B48" s="12" t="str" cm="1">
        <f t="array" ref="B48:F48">_xlfn.TEXTSPLIT($A48,"-",,,0)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25">
      <c r="A49" s="7" t="s">
        <v>114</v>
      </c>
      <c r="B49" s="12" t="str" cm="1">
        <f t="array" ref="B49:F49">_xlfn.TEXTSPLIT($A49,"-",,,0)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25">
      <c r="A50" s="7" t="s">
        <v>115</v>
      </c>
      <c r="B50" s="12" t="str" cm="1">
        <f t="array" ref="B50:F50">_xlfn.TEXTSPLIT($A50,"-",,,0)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25">
      <c r="A51" s="7" t="s">
        <v>116</v>
      </c>
      <c r="B51" s="12" t="str" cm="1">
        <f t="array" ref="B51:F51">_xlfn.TEXTSPLIT($A51,"-",,,0)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25">
      <c r="A52" s="7" t="s">
        <v>117</v>
      </c>
      <c r="B52" s="12" t="str" cm="1">
        <f t="array" ref="B52:F52">_xlfn.TEXTSPLIT($A52,"-",,,0)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25">
      <c r="A53" s="7" t="s">
        <v>118</v>
      </c>
      <c r="B53" s="12" t="str" cm="1">
        <f t="array" ref="B53:F53">_xlfn.TEXTSPLIT($A53,"-",,,0)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25">
      <c r="A54" s="9" t="s">
        <v>119</v>
      </c>
      <c r="B54" s="12" t="str" cm="1">
        <f t="array" ref="B54:F54">_xlfn.TEXTSPLIT($A54,"-",,,0)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84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52</v>
      </c>
      <c r="B6" s="1" t="s">
        <v>184</v>
      </c>
    </row>
    <row r="7" spans="1:3" ht="15" x14ac:dyDescent="0.25">
      <c r="A7" s="3" t="s">
        <v>152</v>
      </c>
      <c r="B7" s="1" t="s">
        <v>185</v>
      </c>
    </row>
    <row r="10" spans="1:3" ht="23.25" x14ac:dyDescent="0.35">
      <c r="A10" s="18" t="s">
        <v>161</v>
      </c>
    </row>
    <row r="11" spans="1:3" ht="15" x14ac:dyDescent="0.25">
      <c r="A11" s="33" t="s">
        <v>85</v>
      </c>
      <c r="B11" s="17" t="s">
        <v>86</v>
      </c>
      <c r="C11" s="17" t="s">
        <v>87</v>
      </c>
    </row>
    <row r="12" spans="1:3" ht="15" x14ac:dyDescent="0.25">
      <c r="A12" s="33">
        <v>44927</v>
      </c>
      <c r="B12" s="17" t="s">
        <v>58</v>
      </c>
      <c r="C12" s="17">
        <v>200</v>
      </c>
    </row>
    <row r="13" spans="1:3" ht="15" x14ac:dyDescent="0.25">
      <c r="A13" s="33">
        <v>44928</v>
      </c>
      <c r="B13" s="17" t="s">
        <v>59</v>
      </c>
      <c r="C13" s="17" t="e">
        <v>#N/A</v>
      </c>
    </row>
    <row r="14" spans="1:3" ht="15" x14ac:dyDescent="0.25">
      <c r="A14" s="33">
        <v>44929</v>
      </c>
      <c r="B14" s="17" t="s">
        <v>60</v>
      </c>
      <c r="C14" s="17">
        <v>50</v>
      </c>
    </row>
    <row r="15" spans="1:3" ht="15" x14ac:dyDescent="0.25">
      <c r="A15" s="33">
        <v>44930</v>
      </c>
      <c r="B15" s="17" t="s">
        <v>61</v>
      </c>
      <c r="C15" s="17" t="e">
        <v>#N/A</v>
      </c>
    </row>
    <row r="16" spans="1:3" ht="15" x14ac:dyDescent="0.25">
      <c r="A16" s="33">
        <v>44931</v>
      </c>
      <c r="B16" s="17" t="s">
        <v>62</v>
      </c>
      <c r="C16" s="17">
        <v>10</v>
      </c>
    </row>
    <row r="17" spans="1:3" ht="15" x14ac:dyDescent="0.25">
      <c r="A17" s="33">
        <v>44932</v>
      </c>
      <c r="B17" s="17" t="s">
        <v>153</v>
      </c>
      <c r="C17" s="17">
        <v>150</v>
      </c>
    </row>
    <row r="18" spans="1:3" ht="15" x14ac:dyDescent="0.25">
      <c r="A18" s="33">
        <v>44933</v>
      </c>
      <c r="B18" s="17" t="s">
        <v>154</v>
      </c>
      <c r="C18" s="17">
        <v>80</v>
      </c>
    </row>
    <row r="19" spans="1:3" ht="15" x14ac:dyDescent="0.25">
      <c r="A19" s="33">
        <v>44934</v>
      </c>
      <c r="B19" s="17" t="s">
        <v>155</v>
      </c>
      <c r="C19" s="17" t="e">
        <v>#N/A</v>
      </c>
    </row>
    <row r="20" spans="1:3" ht="15" x14ac:dyDescent="0.25">
      <c r="A20" s="33">
        <v>44935</v>
      </c>
      <c r="B20" s="17" t="s">
        <v>156</v>
      </c>
      <c r="C20" s="17">
        <v>30</v>
      </c>
    </row>
    <row r="21" spans="1:3" ht="15" x14ac:dyDescent="0.25">
      <c r="A21" s="33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>
        <f>SUMIF($C$12:$C$21,"&lt;&gt;#N/A",$C$12:$C$21) + 20*COUNTIF($C$12:$C$21,"=#N/A")</f>
        <v>600</v>
      </c>
    </row>
  </sheetData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R35"/>
  <sheetViews>
    <sheetView zoomScaleNormal="100" workbookViewId="0">
      <selection activeCell="C8" sqref="C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8" ht="21" x14ac:dyDescent="0.35">
      <c r="A1" s="42" t="s">
        <v>97</v>
      </c>
      <c r="B1" s="41" t="s">
        <v>174</v>
      </c>
    </row>
    <row r="3" spans="1:18" ht="15" x14ac:dyDescent="0.25">
      <c r="B3" s="1" t="s">
        <v>150</v>
      </c>
    </row>
    <row r="4" spans="1:18" ht="18.75" x14ac:dyDescent="0.3">
      <c r="A4" s="43" t="s">
        <v>52</v>
      </c>
      <c r="B4" s="1"/>
      <c r="C4" s="2" t="s">
        <v>186</v>
      </c>
    </row>
    <row r="5" spans="1:18" ht="59.25" customHeight="1" x14ac:dyDescent="0.3">
      <c r="A5" s="47" t="s">
        <v>152</v>
      </c>
      <c r="B5" s="48" t="s">
        <v>187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15" x14ac:dyDescent="0.25">
      <c r="A6" s="3"/>
      <c r="B6" s="1"/>
    </row>
    <row r="8" spans="1:18" ht="23.25" x14ac:dyDescent="0.35">
      <c r="A8" s="18" t="s">
        <v>161</v>
      </c>
      <c r="M8" s="18" t="s">
        <v>162</v>
      </c>
    </row>
    <row r="9" spans="1:18" ht="15" x14ac:dyDescent="0.2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8" ht="15" x14ac:dyDescent="0.2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8" ht="15" x14ac:dyDescent="0.2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8" ht="15" x14ac:dyDescent="0.2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8" ht="15" x14ac:dyDescent="0.2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8" ht="15" x14ac:dyDescent="0.2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8" ht="15" x14ac:dyDescent="0.2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8" ht="15" x14ac:dyDescent="0.2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5" x14ac:dyDescent="0.2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5" x14ac:dyDescent="0.2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25" x14ac:dyDescent="0.35">
      <c r="A21" s="18" t="s">
        <v>167</v>
      </c>
    </row>
    <row r="22" spans="1:14" ht="15" x14ac:dyDescent="0.25">
      <c r="A22" s="14" t="s">
        <v>99</v>
      </c>
      <c r="B22" s="17" t="s">
        <v>100</v>
      </c>
      <c r="C22" s="16" t="s">
        <v>101</v>
      </c>
    </row>
    <row r="23" spans="1:14" ht="15" x14ac:dyDescent="0.25">
      <c r="A23" s="7">
        <v>10100</v>
      </c>
      <c r="B23" s="12">
        <v>10102</v>
      </c>
      <c r="C23" s="44" cm="1">
        <f t="array" ref="C23:C35">INDEX($A$9:$J$18,MATCH(INDEX($M$10:$N$18,MATCH($A$23:$A$35,$M$10:$M$18,0),2),$A$9:$A$18,0),MATCH(INDEX($M$10:$N$18,MATCH($B$23:$B$35,$M$10:$M$18,0),2),$A$9:$J$9,0))</f>
        <v>95</v>
      </c>
    </row>
    <row r="24" spans="1:14" ht="15" x14ac:dyDescent="0.25">
      <c r="A24" s="7">
        <v>10100</v>
      </c>
      <c r="B24" s="12">
        <v>10104</v>
      </c>
      <c r="C24" s="44">
        <v>-1</v>
      </c>
    </row>
    <row r="25" spans="1:14" ht="15" x14ac:dyDescent="0.25">
      <c r="A25" s="7">
        <v>10108</v>
      </c>
      <c r="B25" s="12">
        <v>10102</v>
      </c>
      <c r="C25" s="44">
        <v>160</v>
      </c>
    </row>
    <row r="26" spans="1:14" ht="15" x14ac:dyDescent="0.25">
      <c r="A26" s="7">
        <v>10100</v>
      </c>
      <c r="B26" s="12">
        <v>10106</v>
      </c>
      <c r="C26" s="44">
        <v>185</v>
      </c>
    </row>
    <row r="27" spans="1:14" ht="15" x14ac:dyDescent="0.25">
      <c r="A27" s="7">
        <v>10108</v>
      </c>
      <c r="B27" s="12">
        <v>10110</v>
      </c>
      <c r="C27" s="44">
        <v>50</v>
      </c>
    </row>
    <row r="28" spans="1:14" ht="15" x14ac:dyDescent="0.25">
      <c r="A28" s="7">
        <v>10102</v>
      </c>
      <c r="B28" s="12">
        <v>10104</v>
      </c>
      <c r="C28" s="44">
        <v>-1</v>
      </c>
    </row>
    <row r="29" spans="1:14" ht="15" x14ac:dyDescent="0.25">
      <c r="A29" s="7">
        <v>10106</v>
      </c>
      <c r="B29" s="12">
        <v>10108</v>
      </c>
      <c r="C29" s="44">
        <v>70</v>
      </c>
    </row>
    <row r="30" spans="1:14" ht="15" x14ac:dyDescent="0.25">
      <c r="A30" s="7">
        <v>10102</v>
      </c>
      <c r="B30" s="12">
        <v>10106</v>
      </c>
      <c r="C30" s="44">
        <v>90</v>
      </c>
    </row>
    <row r="31" spans="1:14" ht="15" x14ac:dyDescent="0.25">
      <c r="A31" s="7">
        <v>10110</v>
      </c>
      <c r="B31" s="12">
        <v>10114</v>
      </c>
      <c r="C31" s="44">
        <v>180</v>
      </c>
    </row>
    <row r="32" spans="1:14" ht="15" x14ac:dyDescent="0.25">
      <c r="A32" s="7">
        <v>10104</v>
      </c>
      <c r="B32" s="12">
        <v>10106</v>
      </c>
      <c r="C32" s="44">
        <v>60</v>
      </c>
    </row>
    <row r="33" spans="1:3" ht="15" x14ac:dyDescent="0.25">
      <c r="A33" s="7">
        <v>10110</v>
      </c>
      <c r="B33" s="12">
        <v>10112</v>
      </c>
      <c r="C33" s="44">
        <v>115</v>
      </c>
    </row>
    <row r="34" spans="1:3" ht="15" x14ac:dyDescent="0.25">
      <c r="A34" s="7">
        <v>10100</v>
      </c>
      <c r="B34" s="12">
        <v>10114</v>
      </c>
      <c r="C34" s="44">
        <v>480</v>
      </c>
    </row>
    <row r="35" spans="1:3" ht="15" x14ac:dyDescent="0.25">
      <c r="A35" s="9">
        <v>10112</v>
      </c>
      <c r="B35" s="13">
        <v>10116</v>
      </c>
      <c r="C35" s="45">
        <v>105</v>
      </c>
    </row>
  </sheetData>
  <mergeCells count="1">
    <mergeCell ref="B5:R5"/>
  </mergeCells>
  <pageMargins left="0.7" right="0.7" top="0.75" bottom="0.75" header="0.3" footer="0.3"/>
  <pageSetup orientation="portrait" r:id="rId1"/>
  <headerFooter>
    <oddFooter>&amp;LClassification: &amp;"Microsoft Sans Serif,Bold"&amp;KFFA500Confidential&amp;"Microsoft Sans Serif,Regular"&amp;K000000 Contains PII: &amp;"Microsoft Sans Serif,Bold"No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f9cf0105-8774-44ba-82e7-661a0484c162</TitusGUID>
  <TitusMetadata xmlns="">eyJucyI6Imh0dHA6XC9cL3d3dy50aXR1cy5jb21cL25zXC9MYXRlbnRWaWV3IiwicHJvcHMiOlt7Im4iOiJDbGFzc2lmaWNhdGlvbiIsInZhbHMiOlt7InZhbHVlIjoiTFZfQzBORjFEM05UMUFMIn1dfSx7Im4iOiJDb250YWluc1BJSSIsInZhbHMiOlt7InZhbHVlIjoiTm8ifV19XX0=</TitusMetadata>
</titus>
</file>

<file path=customXml/itemProps1.xml><?xml version="1.0" encoding="utf-8"?>
<ds:datastoreItem xmlns:ds="http://schemas.openxmlformats.org/officeDocument/2006/customXml" ds:itemID="{45F6979F-F08D-4635-84DB-24F37159E035}">
  <ds:schemaRefs>
    <ds:schemaRef ds:uri="http://schemas.titus.com/TitusPropertie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keywords>Classification=LV_C0NF1D3NT1AL</cp:keywords>
  <cp:lastModifiedBy>Gopal Dubey</cp:lastModifiedBy>
  <dcterms:created xsi:type="dcterms:W3CDTF">2015-02-10T17:33:11Z</dcterms:created>
  <dcterms:modified xsi:type="dcterms:W3CDTF">2023-12-09T18:10:12Z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f9cf0105-8774-44ba-82e7-661a0484c162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